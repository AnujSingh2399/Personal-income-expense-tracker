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31" i="1"/>
  <c r="D31"/>
  <c r="E31"/>
  <c r="B31"/>
  <c r="C29"/>
  <c r="D29"/>
  <c r="E29"/>
  <c r="B29"/>
  <c r="N18"/>
  <c r="N19"/>
  <c r="N20"/>
  <c r="N21"/>
  <c r="N17"/>
  <c r="N23"/>
  <c r="N24"/>
  <c r="N26"/>
  <c r="N27"/>
  <c r="N28"/>
  <c r="N8"/>
  <c r="N9"/>
  <c r="N10"/>
  <c r="N11"/>
  <c r="C12"/>
  <c r="D12"/>
  <c r="E12"/>
  <c r="B12"/>
  <c r="N29" l="1"/>
  <c r="N12"/>
  <c r="N31" l="1"/>
</calcChain>
</file>

<file path=xl/sharedStrings.xml><?xml version="1.0" encoding="utf-8"?>
<sst xmlns="http://schemas.openxmlformats.org/spreadsheetml/2006/main" count="52" uniqueCount="37">
  <si>
    <t>Monthly Savings Target                               40000</t>
  </si>
  <si>
    <t>INCOME</t>
  </si>
  <si>
    <t>Item</t>
  </si>
  <si>
    <t>Salary</t>
  </si>
  <si>
    <t>Rental Income</t>
  </si>
  <si>
    <t>Dividend ,Stock Gair</t>
  </si>
  <si>
    <t xml:space="preserve">Freelancing </t>
  </si>
  <si>
    <t>Jan</t>
  </si>
  <si>
    <t>Feb</t>
  </si>
  <si>
    <t>Mar</t>
  </si>
  <si>
    <t>Apr</t>
  </si>
  <si>
    <t>May</t>
  </si>
  <si>
    <t>Jun</t>
  </si>
  <si>
    <t xml:space="preserve">Jul </t>
  </si>
  <si>
    <t>Aug</t>
  </si>
  <si>
    <t>Sep</t>
  </si>
  <si>
    <t>Oct</t>
  </si>
  <si>
    <t>Nov</t>
  </si>
  <si>
    <t>Dec</t>
  </si>
  <si>
    <t>Year To Date</t>
  </si>
  <si>
    <t>Personal Income , Expense Tracker</t>
  </si>
  <si>
    <t>Total Income</t>
  </si>
  <si>
    <t>Expenses</t>
  </si>
  <si>
    <t>Housing</t>
  </si>
  <si>
    <t>Mortgage or Rent</t>
  </si>
  <si>
    <t>Phone</t>
  </si>
  <si>
    <t>Electricity</t>
  </si>
  <si>
    <t>Gas</t>
  </si>
  <si>
    <t>Others Maintenance</t>
  </si>
  <si>
    <t>Food</t>
  </si>
  <si>
    <t>Groceries</t>
  </si>
  <si>
    <t>Dining out</t>
  </si>
  <si>
    <t>Transportation</t>
  </si>
  <si>
    <t>Fuel Expenses</t>
  </si>
  <si>
    <t>Bus/Train/Taxi/Flight</t>
  </si>
  <si>
    <t>Vehicle Maintance</t>
  </si>
  <si>
    <t>Savings/Deficit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</si>
</sst>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/>
    <xf numFmtId="0" fontId="2" fillId="3" borderId="0" xfId="0" applyFont="1" applyFill="1" applyAlignment="1"/>
    <xf numFmtId="0" fontId="0" fillId="0" borderId="0" xfId="0" applyNumberFormat="1"/>
    <xf numFmtId="0" fontId="2" fillId="0" borderId="3" xfId="0" applyFont="1" applyBorder="1"/>
    <xf numFmtId="0" fontId="0" fillId="6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6" borderId="0" xfId="0" applyFont="1" applyFill="1" applyAlignment="1">
      <alignment horizontal="right"/>
    </xf>
    <xf numFmtId="0" fontId="0" fillId="6" borderId="0" xfId="0" applyNumberFormat="1" applyFont="1" applyFill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NumberFormat="1" applyFont="1" applyAlignment="1">
      <alignment horizontal="right"/>
    </xf>
    <xf numFmtId="0" fontId="1" fillId="5" borderId="5" xfId="0" applyFont="1" applyFill="1" applyBorder="1" applyAlignment="1">
      <alignment horizontal="left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0" xfId="0" applyFont="1"/>
    <xf numFmtId="0" fontId="2" fillId="0" borderId="4" xfId="0" applyFont="1" applyBorder="1"/>
    <xf numFmtId="0" fontId="2" fillId="7" borderId="2" xfId="0" applyFont="1" applyFill="1" applyBorder="1"/>
    <xf numFmtId="0" fontId="2" fillId="7" borderId="3" xfId="0" applyFont="1" applyFill="1" applyBorder="1"/>
    <xf numFmtId="0" fontId="2" fillId="7" borderId="4" xfId="0" applyFont="1" applyFill="1" applyBorder="1"/>
    <xf numFmtId="0" fontId="2" fillId="4" borderId="1" xfId="0" applyFont="1" applyFill="1" applyBorder="1" applyAlignment="1">
      <alignment horizontal="center"/>
    </xf>
    <xf numFmtId="15" fontId="2" fillId="2" borderId="0" xfId="0" applyNumberFormat="1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/>
    </xf>
  </cellXfs>
  <cellStyles count="1">
    <cellStyle name="Normal" xfId="0" builtinId="0"/>
  </cellStyles>
  <dxfs count="21"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249977111117893"/>
        </patternFill>
      </fill>
      <alignment horizontal="left" vertical="bottom" textRotation="0" wrapText="0" indent="0" relativeIndent="0" justifyLastLine="0" shrinkToFit="0" mergeCell="0" readingOrder="0"/>
    </dxf>
    <dxf>
      <numFmt numFmtId="0" formatCode="General"/>
      <alignment horizontal="right" vertical="bottom" textRotation="0" wrapText="0" indent="0" relativeIndent="255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249977111117893"/>
        </patternFill>
      </fill>
      <alignment horizontal="left" vertical="bottom" textRotation="0" wrapText="0" indent="0" relativeIndent="0" justifyLastLine="0" shrinkToFit="0" mergeCell="0" readingOrder="0"/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7:N11" totalsRowShown="0" headerRowDxfId="19" headerRowBorderDxfId="18" tableBorderDxfId="17">
  <autoFilter ref="A7:N11"/>
  <tableColumns count="14">
    <tableColumn id="1" name="Item"/>
    <tableColumn id="2" name="Jan" dataDxfId="16"/>
    <tableColumn id="3" name="Feb" dataDxfId="15"/>
    <tableColumn id="4" name="Mar" dataDxfId="14"/>
    <tableColumn id="5" name="Apr" dataDxfId="13"/>
    <tableColumn id="6" name="May" dataDxfId="12"/>
    <tableColumn id="7" name="Jun" dataDxfId="11"/>
    <tableColumn id="8" name="Jul " dataDxfId="10"/>
    <tableColumn id="9" name="Aug" dataDxfId="9"/>
    <tableColumn id="10" name="Sep" dataDxfId="8"/>
    <tableColumn id="11" name="Oct" dataDxfId="7"/>
    <tableColumn id="12" name="Nov" dataDxfId="6"/>
    <tableColumn id="13" name="Dec" dataDxfId="5"/>
    <tableColumn id="14" name="Year To Date" dataDxfId="4">
      <calculatedColumnFormula>SUM(Table3[[#This Row],[Jan]:[Dec]])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A15:N28" totalsRowShown="0" headerRowDxfId="3" headerRowBorderDxfId="2" tableBorderDxfId="1">
  <autoFilter ref="A15:N28"/>
  <tableColumns count="14">
    <tableColumn id="1" name="Item"/>
    <tableColumn id="2" name="Jan"/>
    <tableColumn id="3" name="Feb"/>
    <tableColumn id="4" name="Mar"/>
    <tableColumn id="5" name="Apr"/>
    <tableColumn id="6" name="May"/>
    <tableColumn id="7" name="Jun"/>
    <tableColumn id="8" name="Jul "/>
    <tableColumn id="9" name="Aug"/>
    <tableColumn id="10" name="Sep"/>
    <tableColumn id="11" name="Oct"/>
    <tableColumn id="12" name="Nov"/>
    <tableColumn id="13" name="Dec"/>
    <tableColumn id="14" name="Year To Date" dataDxfId="0">
      <calculatedColumnFormula>SUM(Table6[[#This Row],[Jan]:[Dec]])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showGridLines="0" tabSelected="1" workbookViewId="0">
      <selection sqref="A1:N2"/>
    </sheetView>
  </sheetViews>
  <sheetFormatPr defaultRowHeight="14.4"/>
  <cols>
    <col min="1" max="1" width="39.33203125" bestFit="1" customWidth="1"/>
    <col min="14" max="14" width="13.44140625" customWidth="1"/>
  </cols>
  <sheetData>
    <row r="1" spans="1:14">
      <c r="A1" s="21" t="s">
        <v>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4" spans="1:14">
      <c r="A4" s="2" t="s">
        <v>0</v>
      </c>
      <c r="B4" s="1"/>
      <c r="C4" s="1"/>
      <c r="D4" s="1"/>
    </row>
    <row r="6" spans="1:14">
      <c r="A6" s="20" t="s">
        <v>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>
      <c r="A7" s="11" t="s">
        <v>2</v>
      </c>
      <c r="B7" s="11" t="s">
        <v>7</v>
      </c>
      <c r="C7" s="11" t="s">
        <v>8</v>
      </c>
      <c r="D7" s="11" t="s">
        <v>9</v>
      </c>
      <c r="E7" s="11" t="s">
        <v>10</v>
      </c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  <c r="M7" s="11" t="s">
        <v>18</v>
      </c>
      <c r="N7" s="11" t="s">
        <v>19</v>
      </c>
    </row>
    <row r="8" spans="1:14">
      <c r="A8" s="5" t="s">
        <v>3</v>
      </c>
      <c r="B8" s="7">
        <v>60000</v>
      </c>
      <c r="C8" s="7">
        <v>60000</v>
      </c>
      <c r="D8" s="7">
        <v>60000</v>
      </c>
      <c r="E8" s="7">
        <v>75000</v>
      </c>
      <c r="F8" s="7"/>
      <c r="G8" s="7"/>
      <c r="H8" s="7"/>
      <c r="I8" s="7"/>
      <c r="J8" s="7"/>
      <c r="K8" s="7"/>
      <c r="L8" s="7"/>
      <c r="M8" s="7"/>
      <c r="N8" s="8">
        <f>SUM(Table3[[#This Row],[Jan]:[Dec]])</f>
        <v>255000</v>
      </c>
    </row>
    <row r="9" spans="1:14">
      <c r="A9" s="6" t="s">
        <v>4</v>
      </c>
      <c r="B9" s="9">
        <v>14000</v>
      </c>
      <c r="C9" s="9">
        <v>14000</v>
      </c>
      <c r="D9" s="9">
        <v>0</v>
      </c>
      <c r="E9" s="9">
        <v>15000</v>
      </c>
      <c r="F9" s="9"/>
      <c r="G9" s="9"/>
      <c r="H9" s="9"/>
      <c r="I9" s="9"/>
      <c r="J9" s="9"/>
      <c r="K9" s="9"/>
      <c r="L9" s="9"/>
      <c r="M9" s="9"/>
      <c r="N9" s="10">
        <f>SUM(Table3[[#This Row],[Jan]:[Dec]])</f>
        <v>43000</v>
      </c>
    </row>
    <row r="10" spans="1:14">
      <c r="A10" s="5" t="s">
        <v>5</v>
      </c>
      <c r="B10" s="7">
        <v>2000</v>
      </c>
      <c r="C10" s="7">
        <v>600</v>
      </c>
      <c r="D10" s="7">
        <v>1400</v>
      </c>
      <c r="E10" s="7">
        <v>0</v>
      </c>
      <c r="F10" s="7"/>
      <c r="G10" s="7"/>
      <c r="H10" s="7"/>
      <c r="I10" s="7"/>
      <c r="J10" s="7"/>
      <c r="K10" s="7"/>
      <c r="L10" s="7"/>
      <c r="M10" s="7"/>
      <c r="N10" s="8">
        <f>SUM(Table3[[#This Row],[Jan]:[Dec]])</f>
        <v>4000</v>
      </c>
    </row>
    <row r="11" spans="1:14">
      <c r="A11" s="6" t="s">
        <v>6</v>
      </c>
      <c r="B11" s="9">
        <v>0</v>
      </c>
      <c r="C11" s="9">
        <v>0</v>
      </c>
      <c r="D11" s="9">
        <v>0</v>
      </c>
      <c r="E11" s="9">
        <v>0</v>
      </c>
      <c r="F11" s="9"/>
      <c r="G11" s="9"/>
      <c r="H11" s="9"/>
      <c r="I11" s="9"/>
      <c r="J11" s="9"/>
      <c r="K11" s="9"/>
      <c r="L11" s="9"/>
      <c r="M11" s="9"/>
      <c r="N11" s="10">
        <f>SUM(Table3[[#This Row],[Jan]:[Dec]])</f>
        <v>0</v>
      </c>
    </row>
    <row r="12" spans="1:14">
      <c r="A12" s="12" t="s">
        <v>21</v>
      </c>
      <c r="B12" s="13">
        <f>SUM(B8:B11)</f>
        <v>76000</v>
      </c>
      <c r="C12" s="13">
        <f t="shared" ref="C12:E12" si="0">SUM(C8:C11)</f>
        <v>74600</v>
      </c>
      <c r="D12" s="13">
        <f t="shared" si="0"/>
        <v>61400</v>
      </c>
      <c r="E12" s="13">
        <f t="shared" si="0"/>
        <v>90000</v>
      </c>
      <c r="F12" s="13"/>
      <c r="G12" s="13"/>
      <c r="H12" s="13"/>
      <c r="I12" s="13"/>
      <c r="J12" s="13"/>
      <c r="K12" s="13"/>
      <c r="L12" s="13"/>
      <c r="M12" s="13"/>
      <c r="N12" s="14">
        <f>SUM(Sheet1!$B12:$M12)</f>
        <v>302000</v>
      </c>
    </row>
    <row r="14" spans="1:14">
      <c r="A14" s="22" t="s">
        <v>22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spans="1:14">
      <c r="A15" s="11" t="s">
        <v>2</v>
      </c>
      <c r="B15" s="11" t="s">
        <v>7</v>
      </c>
      <c r="C15" s="11" t="s">
        <v>8</v>
      </c>
      <c r="D15" s="11" t="s">
        <v>9</v>
      </c>
      <c r="E15" s="11" t="s">
        <v>10</v>
      </c>
      <c r="F15" s="11" t="s">
        <v>11</v>
      </c>
      <c r="G15" s="11" t="s">
        <v>12</v>
      </c>
      <c r="H15" s="11" t="s">
        <v>13</v>
      </c>
      <c r="I15" s="11" t="s">
        <v>14</v>
      </c>
      <c r="J15" s="11" t="s">
        <v>15</v>
      </c>
      <c r="K15" s="11" t="s">
        <v>16</v>
      </c>
      <c r="L15" s="11" t="s">
        <v>17</v>
      </c>
      <c r="M15" s="11" t="s">
        <v>18</v>
      </c>
      <c r="N15" s="11" t="s">
        <v>19</v>
      </c>
    </row>
    <row r="16" spans="1:14">
      <c r="A16" s="15" t="s">
        <v>23</v>
      </c>
      <c r="N16" s="3"/>
    </row>
    <row r="17" spans="1:14">
      <c r="A17" t="s">
        <v>24</v>
      </c>
      <c r="B17">
        <v>23000</v>
      </c>
      <c r="C17">
        <v>23000</v>
      </c>
      <c r="D17">
        <v>23000</v>
      </c>
      <c r="E17">
        <v>22500</v>
      </c>
      <c r="N17" s="3">
        <f>SUM(Table6[[#This Row],[Jan]:[Dec]])</f>
        <v>91500</v>
      </c>
    </row>
    <row r="18" spans="1:14">
      <c r="A18" t="s">
        <v>25</v>
      </c>
      <c r="B18">
        <v>400</v>
      </c>
      <c r="C18">
        <v>400</v>
      </c>
      <c r="D18">
        <v>400</v>
      </c>
      <c r="E18">
        <v>400</v>
      </c>
      <c r="N18" s="3">
        <f>SUM(Table6[[#This Row],[Jan]:[Dec]])</f>
        <v>1600</v>
      </c>
    </row>
    <row r="19" spans="1:14">
      <c r="A19" t="s">
        <v>26</v>
      </c>
      <c r="B19">
        <v>1700</v>
      </c>
      <c r="C19">
        <v>1600</v>
      </c>
      <c r="D19">
        <v>2300</v>
      </c>
      <c r="E19">
        <v>2800</v>
      </c>
      <c r="N19" s="3">
        <f>SUM(Table6[[#This Row],[Jan]:[Dec]])</f>
        <v>8400</v>
      </c>
    </row>
    <row r="20" spans="1:14">
      <c r="A20" t="s">
        <v>27</v>
      </c>
      <c r="B20">
        <v>800</v>
      </c>
      <c r="C20">
        <v>950</v>
      </c>
      <c r="D20">
        <v>940</v>
      </c>
      <c r="E20">
        <v>1020</v>
      </c>
      <c r="N20" s="3">
        <f>SUM(Table6[[#This Row],[Jan]:[Dec]])</f>
        <v>3710</v>
      </c>
    </row>
    <row r="21" spans="1:14">
      <c r="A21" t="s">
        <v>28</v>
      </c>
      <c r="B21">
        <v>600</v>
      </c>
      <c r="C21">
        <v>230</v>
      </c>
      <c r="D21">
        <v>2350</v>
      </c>
      <c r="E21">
        <v>1540</v>
      </c>
      <c r="N21" s="3">
        <f>SUM(Table6[[#This Row],[Jan]:[Dec]])</f>
        <v>4720</v>
      </c>
    </row>
    <row r="22" spans="1:14">
      <c r="A22" s="15" t="s">
        <v>29</v>
      </c>
      <c r="N22" s="3"/>
    </row>
    <row r="23" spans="1:14">
      <c r="A23" t="s">
        <v>30</v>
      </c>
      <c r="B23">
        <v>200</v>
      </c>
      <c r="C23">
        <v>180</v>
      </c>
      <c r="D23">
        <v>160</v>
      </c>
      <c r="E23">
        <v>210</v>
      </c>
      <c r="N23" s="3">
        <f>SUM(Table6[[#This Row],[Jan]:[Dec]])</f>
        <v>750</v>
      </c>
    </row>
    <row r="24" spans="1:14">
      <c r="A24" t="s">
        <v>31</v>
      </c>
      <c r="B24">
        <v>50</v>
      </c>
      <c r="C24">
        <v>45</v>
      </c>
      <c r="D24">
        <v>37</v>
      </c>
      <c r="E24">
        <v>0</v>
      </c>
      <c r="N24" s="3">
        <f>SUM(Table6[[#This Row],[Jan]:[Dec]])</f>
        <v>132</v>
      </c>
    </row>
    <row r="25" spans="1:14">
      <c r="A25" s="15" t="s">
        <v>32</v>
      </c>
      <c r="N25" s="3"/>
    </row>
    <row r="26" spans="1:14">
      <c r="A26" t="s">
        <v>33</v>
      </c>
      <c r="B26">
        <v>125</v>
      </c>
      <c r="C26">
        <v>100</v>
      </c>
      <c r="D26">
        <v>67</v>
      </c>
      <c r="E26">
        <v>140</v>
      </c>
      <c r="N26" s="3">
        <f>SUM(Table6[[#This Row],[Jan]:[Dec]])</f>
        <v>432</v>
      </c>
    </row>
    <row r="27" spans="1:14">
      <c r="A27" t="s">
        <v>34</v>
      </c>
      <c r="B27">
        <v>10</v>
      </c>
      <c r="C27">
        <v>5</v>
      </c>
      <c r="D27">
        <v>9</v>
      </c>
      <c r="E27">
        <v>0</v>
      </c>
      <c r="N27" s="3">
        <f>SUM(Table6[[#This Row],[Jan]:[Dec]])</f>
        <v>24</v>
      </c>
    </row>
    <row r="28" spans="1:14">
      <c r="A28" t="s">
        <v>35</v>
      </c>
      <c r="B28">
        <v>20</v>
      </c>
      <c r="C28">
        <v>45</v>
      </c>
      <c r="D28">
        <v>67</v>
      </c>
      <c r="E28">
        <v>120</v>
      </c>
      <c r="N28" s="3">
        <f>SUM(Table6[[#This Row],[Jan]:[Dec]])</f>
        <v>252</v>
      </c>
    </row>
    <row r="29" spans="1:14">
      <c r="A29" s="12" t="s">
        <v>21</v>
      </c>
      <c r="B29" s="4">
        <f>SUM(B17:B28)</f>
        <v>26905</v>
      </c>
      <c r="C29" s="4">
        <f t="shared" ref="C29:E29" si="1">SUM(C17:C28)</f>
        <v>26555</v>
      </c>
      <c r="D29" s="4">
        <f t="shared" si="1"/>
        <v>29330</v>
      </c>
      <c r="E29" s="4">
        <f t="shared" si="1"/>
        <v>28730</v>
      </c>
      <c r="F29" s="4"/>
      <c r="G29" s="4"/>
      <c r="H29" s="4"/>
      <c r="I29" s="4"/>
      <c r="J29" s="4"/>
      <c r="K29" s="4"/>
      <c r="L29" s="4"/>
      <c r="M29" s="4"/>
      <c r="N29" s="16">
        <f t="shared" ref="N29" si="2">SUM(N17:N28)</f>
        <v>111520</v>
      </c>
    </row>
    <row r="31" spans="1:14">
      <c r="A31" s="17" t="s">
        <v>36</v>
      </c>
      <c r="B31" s="18">
        <f>B12-B29</f>
        <v>49095</v>
      </c>
      <c r="C31" s="18">
        <f t="shared" ref="C31:N31" si="3">C12-C29</f>
        <v>48045</v>
      </c>
      <c r="D31" s="18">
        <f t="shared" si="3"/>
        <v>32070</v>
      </c>
      <c r="E31" s="18">
        <f t="shared" si="3"/>
        <v>61270</v>
      </c>
      <c r="F31" s="18"/>
      <c r="G31" s="18"/>
      <c r="H31" s="18"/>
      <c r="I31" s="18"/>
      <c r="J31" s="18"/>
      <c r="K31" s="18"/>
      <c r="L31" s="18"/>
      <c r="M31" s="18"/>
      <c r="N31" s="19">
        <f t="shared" si="3"/>
        <v>190480</v>
      </c>
    </row>
  </sheetData>
  <mergeCells count="3">
    <mergeCell ref="A6:N6"/>
    <mergeCell ref="A1:N2"/>
    <mergeCell ref="A14:N14"/>
  </mergeCells>
  <conditionalFormatting sqref="A31:E31 N31">
    <cfRule type="cellIs" dxfId="20" priority="1" operator="lessThan">
      <formula>40000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2026-04-21T07:30:32Z</dcterms:created>
  <dcterms:modified xsi:type="dcterms:W3CDTF">2026-04-21T14:38:56Z</dcterms:modified>
</cp:coreProperties>
</file>